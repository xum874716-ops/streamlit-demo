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VSproject\CapacityModel\ExcelData\"/>
    </mc:Choice>
  </mc:AlternateContent>
  <xr:revisionPtr revIDLastSave="0" documentId="13_ncr:1_{24ACD1E7-4613-4861-8A1C-62BF2ADF970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U22" i="1" s="1"/>
  <c r="V21" i="1"/>
  <c r="V22" i="1" s="1"/>
  <c r="W21" i="1"/>
  <c r="W22" i="1" s="1"/>
  <c r="X21" i="1"/>
  <c r="X22" i="1" s="1"/>
  <c r="Y21" i="1"/>
  <c r="Y22" i="1" s="1"/>
  <c r="Z21" i="1"/>
  <c r="Z22" i="1" s="1"/>
  <c r="AA21" i="1"/>
  <c r="AA22" i="1" s="1"/>
  <c r="AB21" i="1"/>
  <c r="AB22" i="1" s="1"/>
  <c r="AC21" i="1"/>
  <c r="AC22" i="1" s="1"/>
  <c r="AD21" i="1"/>
  <c r="AE21" i="1"/>
  <c r="AF21" i="1"/>
  <c r="AG21" i="1"/>
  <c r="AH21" i="1"/>
  <c r="AI21" i="1"/>
  <c r="AJ21" i="1"/>
  <c r="AK21" i="1"/>
  <c r="AL21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AD22" i="1"/>
  <c r="AE22" i="1"/>
  <c r="AF22" i="1"/>
  <c r="AG22" i="1"/>
  <c r="AH22" i="1"/>
  <c r="AI22" i="1"/>
  <c r="AJ22" i="1"/>
  <c r="AK22" i="1"/>
  <c r="AL22" i="1"/>
  <c r="H23" i="1"/>
  <c r="H24" i="1" s="1"/>
  <c r="I23" i="1"/>
  <c r="I24" i="1" s="1"/>
  <c r="J23" i="1"/>
  <c r="J24" i="1" s="1"/>
  <c r="K23" i="1"/>
  <c r="L23" i="1" s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C14" i="1"/>
  <c r="D14" i="1"/>
  <c r="D17" i="1" s="1"/>
  <c r="E14" i="1"/>
  <c r="F14" i="1"/>
  <c r="G14" i="1"/>
  <c r="C17" i="1"/>
  <c r="E17" i="1"/>
  <c r="F17" i="1"/>
  <c r="G17" i="1"/>
  <c r="L24" i="1" l="1"/>
  <c r="M23" i="1"/>
  <c r="K24" i="1"/>
  <c r="C19" i="1"/>
  <c r="M24" i="1" l="1"/>
  <c r="N23" i="1"/>
  <c r="N24" i="1" l="1"/>
  <c r="O23" i="1"/>
  <c r="P23" i="1" l="1"/>
  <c r="O24" i="1"/>
  <c r="P24" i="1" l="1"/>
  <c r="Q23" i="1"/>
  <c r="Q24" i="1" l="1"/>
  <c r="R23" i="1"/>
  <c r="R24" i="1" l="1"/>
  <c r="S23" i="1"/>
  <c r="T23" i="1" l="1"/>
  <c r="S24" i="1"/>
  <c r="U23" i="1" l="1"/>
  <c r="T24" i="1"/>
  <c r="U24" i="1" l="1"/>
  <c r="V23" i="1"/>
  <c r="W23" i="1" l="1"/>
  <c r="V24" i="1"/>
  <c r="W24" i="1" l="1"/>
  <c r="X23" i="1"/>
  <c r="X24" i="1" l="1"/>
  <c r="Y23" i="1"/>
  <c r="Y24" i="1" l="1"/>
  <c r="Z23" i="1"/>
  <c r="Z24" i="1" l="1"/>
  <c r="AA23" i="1"/>
  <c r="AA24" i="1" l="1"/>
  <c r="AB23" i="1"/>
  <c r="AC23" i="1" l="1"/>
  <c r="AB24" i="1"/>
  <c r="AC24" i="1" l="1"/>
  <c r="AD23" i="1"/>
  <c r="AE23" i="1" l="1"/>
  <c r="AD24" i="1"/>
  <c r="AE24" i="1" l="1"/>
  <c r="AF23" i="1"/>
  <c r="AF24" i="1" l="1"/>
  <c r="AG23" i="1"/>
  <c r="AH23" i="1" l="1"/>
  <c r="AG24" i="1"/>
  <c r="AI23" i="1" l="1"/>
  <c r="AH24" i="1"/>
  <c r="AJ23" i="1" l="1"/>
  <c r="AI24" i="1"/>
  <c r="AK23" i="1" l="1"/>
  <c r="AJ24" i="1"/>
  <c r="AK24" i="1" l="1"/>
  <c r="AL23" i="1"/>
  <c r="AL24" i="1" s="1"/>
  <c r="D23" i="1" l="1"/>
  <c r="D24" i="1" s="1"/>
  <c r="C23" i="1"/>
  <c r="C24" i="1" s="1"/>
  <c r="E21" i="1"/>
  <c r="E22" i="1" s="1"/>
  <c r="C21" i="1"/>
  <c r="C22" i="1" s="1"/>
  <c r="F21" i="1"/>
  <c r="F22" i="1" s="1"/>
  <c r="D21" i="1"/>
  <c r="D22" i="1" s="1"/>
  <c r="G21" i="1"/>
  <c r="G22" i="1" s="1"/>
  <c r="E23" i="1" l="1"/>
  <c r="E24" i="1" l="1"/>
  <c r="F23" i="1"/>
  <c r="F24" i="1" l="1"/>
  <c r="G23" i="1"/>
  <c r="G24" i="1" s="1"/>
</calcChain>
</file>

<file path=xl/sharedStrings.xml><?xml version="1.0" encoding="utf-8"?>
<sst xmlns="http://schemas.openxmlformats.org/spreadsheetml/2006/main" count="25" uniqueCount="22">
  <si>
    <t>日期</t>
    <phoneticPr fontId="1" type="noConversion"/>
  </si>
  <si>
    <t>每班次工作资源能力数量</t>
    <phoneticPr fontId="1" type="noConversion"/>
  </si>
  <si>
    <t>一班</t>
    <phoneticPr fontId="1" type="noConversion"/>
  </si>
  <si>
    <t>二班</t>
    <phoneticPr fontId="1" type="noConversion"/>
  </si>
  <si>
    <t>三班</t>
    <phoneticPr fontId="1" type="noConversion"/>
  </si>
  <si>
    <t>四班</t>
    <phoneticPr fontId="1" type="noConversion"/>
  </si>
  <si>
    <t>注：该资源能力组每班次最大数量为</t>
    <phoneticPr fontId="1" type="noConversion"/>
  </si>
  <si>
    <t>班次</t>
    <phoneticPr fontId="1" type="noConversion"/>
  </si>
  <si>
    <t>加班</t>
    <phoneticPr fontId="1" type="noConversion"/>
  </si>
  <si>
    <t>工作时间（小时）</t>
    <phoneticPr fontId="1" type="noConversion"/>
  </si>
  <si>
    <t>月工作天数</t>
    <phoneticPr fontId="1" type="noConversion"/>
  </si>
  <si>
    <t>基础产能（小时）</t>
    <phoneticPr fontId="1" type="noConversion"/>
  </si>
  <si>
    <t>合格率</t>
    <phoneticPr fontId="1" type="noConversion"/>
  </si>
  <si>
    <t>生产效率</t>
    <phoneticPr fontId="1" type="noConversion"/>
  </si>
  <si>
    <t>有效产能</t>
    <phoneticPr fontId="1" type="noConversion"/>
  </si>
  <si>
    <t>产能裕度</t>
    <phoneticPr fontId="1" type="noConversion"/>
  </si>
  <si>
    <t>峰值产能</t>
    <phoneticPr fontId="1" type="noConversion"/>
  </si>
  <si>
    <t>基本需求（小时）</t>
    <phoneticPr fontId="1" type="noConversion"/>
  </si>
  <si>
    <t>产能差异（小时）</t>
    <phoneticPr fontId="1" type="noConversion"/>
  </si>
  <si>
    <t>产能差异（%）</t>
    <phoneticPr fontId="1" type="noConversion"/>
  </si>
  <si>
    <t>累计产能差异（小时）</t>
    <phoneticPr fontId="1" type="noConversion"/>
  </si>
  <si>
    <t>产能缺口（小时）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</si>
</sst>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/>
    </xf>
    <xf numFmtId="0" fontId="4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3">
    <dxf>
      <fill>
        <patternFill patternType="solid">
          <bgColor theme="9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VSproject\CapacityModel\ExcelData\&#12304;&#20844;&#24320;&#12305;&#20135;&#33021;&#27979;&#31639;&#27169;&#22411;.xlsx" TargetMode="External"/><Relationship Id="rId1" Type="http://schemas.openxmlformats.org/officeDocument/2006/relationships/externalLinkPath" Target="&#12304;&#20844;&#24320;&#12305;&#20135;&#33021;&#27979;&#31639;&#27169;&#224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版本信息"/>
      <sheetName val="0.填写说明"/>
      <sheetName val="1.需求输入表（需填写数据）"/>
      <sheetName val="2.资源能力输入表（需填写数据）"/>
      <sheetName val="3.工时输入表（需填写数据）"/>
      <sheetName val="4.零件需求工时计算（自动运算）"/>
      <sheetName val="5.资源能力组需求工时计算（自动运算）"/>
      <sheetName val="6.资源能力组产能（需填写数据）"/>
      <sheetName val="7.资源能力组产能（自动运算）"/>
      <sheetName val="8.资源能力组产能汇总（自动运算）"/>
      <sheetName val="9.资源能力组产能汇总（自动运算）"/>
    </sheetNames>
    <sheetDataSet>
      <sheetData sheetId="0"/>
      <sheetData sheetId="1"/>
      <sheetData sheetId="2">
        <row r="3">
          <cell r="D3">
            <v>2024</v>
          </cell>
          <cell r="E3">
            <v>2024</v>
          </cell>
          <cell r="F3">
            <v>2024</v>
          </cell>
          <cell r="G3">
            <v>2024</v>
          </cell>
          <cell r="H3">
            <v>2024</v>
          </cell>
          <cell r="I3">
            <v>2024</v>
          </cell>
          <cell r="J3">
            <v>2024</v>
          </cell>
          <cell r="K3">
            <v>2024</v>
          </cell>
          <cell r="L3">
            <v>2025</v>
          </cell>
          <cell r="M3">
            <v>2025</v>
          </cell>
          <cell r="N3">
            <v>2025</v>
          </cell>
          <cell r="O3">
            <v>2025</v>
          </cell>
          <cell r="P3">
            <v>2025</v>
          </cell>
          <cell r="Q3">
            <v>2025</v>
          </cell>
          <cell r="R3">
            <v>2025</v>
          </cell>
          <cell r="S3">
            <v>2025</v>
          </cell>
          <cell r="T3">
            <v>2025</v>
          </cell>
          <cell r="U3">
            <v>2025</v>
          </cell>
          <cell r="V3">
            <v>2025</v>
          </cell>
          <cell r="W3">
            <v>2025</v>
          </cell>
          <cell r="X3">
            <v>2026</v>
          </cell>
          <cell r="Y3">
            <v>2026</v>
          </cell>
          <cell r="Z3">
            <v>2026</v>
          </cell>
          <cell r="AA3">
            <v>2026</v>
          </cell>
          <cell r="AB3">
            <v>2026</v>
          </cell>
          <cell r="AC3">
            <v>2026</v>
          </cell>
          <cell r="AD3">
            <v>2026</v>
          </cell>
          <cell r="AE3">
            <v>2026</v>
          </cell>
          <cell r="AF3">
            <v>2026</v>
          </cell>
          <cell r="AG3">
            <v>2026</v>
          </cell>
          <cell r="AH3">
            <v>2026</v>
          </cell>
          <cell r="AI3">
            <v>2026</v>
          </cell>
          <cell r="AJ3">
            <v>2027</v>
          </cell>
          <cell r="AK3">
            <v>2027</v>
          </cell>
          <cell r="AL3">
            <v>2027</v>
          </cell>
          <cell r="AM3">
            <v>2027</v>
          </cell>
        </row>
        <row r="4">
          <cell r="D4" t="str">
            <v>AP5</v>
          </cell>
          <cell r="E4" t="str">
            <v>AP6</v>
          </cell>
          <cell r="F4" t="str">
            <v>AP7</v>
          </cell>
          <cell r="G4" t="str">
            <v>AP8</v>
          </cell>
          <cell r="H4" t="str">
            <v>AP9</v>
          </cell>
          <cell r="I4" t="str">
            <v>AP10</v>
          </cell>
          <cell r="J4" t="str">
            <v>AP11</v>
          </cell>
          <cell r="K4" t="str">
            <v>AP12</v>
          </cell>
          <cell r="L4" t="str">
            <v>AP1</v>
          </cell>
          <cell r="M4" t="str">
            <v>AP2</v>
          </cell>
          <cell r="N4" t="str">
            <v>AP3</v>
          </cell>
          <cell r="O4" t="str">
            <v>AP4</v>
          </cell>
          <cell r="P4" t="str">
            <v>AP5</v>
          </cell>
          <cell r="Q4" t="str">
            <v>AP6</v>
          </cell>
          <cell r="R4" t="str">
            <v>AP7</v>
          </cell>
          <cell r="S4" t="str">
            <v>AP8</v>
          </cell>
          <cell r="T4" t="str">
            <v>AP9</v>
          </cell>
          <cell r="U4" t="str">
            <v>AP10</v>
          </cell>
          <cell r="V4" t="str">
            <v>AP11</v>
          </cell>
          <cell r="W4" t="str">
            <v>AP12</v>
          </cell>
          <cell r="X4" t="str">
            <v>AP1</v>
          </cell>
          <cell r="Y4" t="str">
            <v>AP2</v>
          </cell>
          <cell r="Z4" t="str">
            <v>AP3</v>
          </cell>
          <cell r="AA4" t="str">
            <v>AP4</v>
          </cell>
          <cell r="AB4" t="str">
            <v>AP5</v>
          </cell>
          <cell r="AC4" t="str">
            <v>AP6</v>
          </cell>
          <cell r="AD4" t="str">
            <v>AP7</v>
          </cell>
          <cell r="AE4" t="str">
            <v>AP8</v>
          </cell>
          <cell r="AF4" t="str">
            <v>AP9</v>
          </cell>
          <cell r="AG4" t="str">
            <v>AP10</v>
          </cell>
          <cell r="AH4" t="str">
            <v>AP11</v>
          </cell>
          <cell r="AI4" t="str">
            <v>AP12</v>
          </cell>
          <cell r="AJ4" t="str">
            <v>AP1</v>
          </cell>
          <cell r="AK4" t="str">
            <v>AP2</v>
          </cell>
          <cell r="AL4" t="str">
            <v>AP3</v>
          </cell>
          <cell r="AM4" t="str">
            <v>AP4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4"/>
  <sheetViews>
    <sheetView tabSelected="1" workbookViewId="0">
      <selection activeCell="D30" sqref="D30"/>
    </sheetView>
  </sheetViews>
  <sheetFormatPr defaultRowHeight="13.9" x14ac:dyDescent="0.4"/>
  <cols>
    <col min="1" max="1" width="34.3984375" customWidth="1"/>
    <col min="2" max="2" width="29.265625" customWidth="1"/>
    <col min="3" max="3" width="7.796875" customWidth="1"/>
    <col min="4" max="4" width="6.796875" customWidth="1"/>
    <col min="5" max="5" width="7.19921875" customWidth="1"/>
    <col min="6" max="6" width="6.9296875" customWidth="1"/>
    <col min="7" max="7" width="8.796875" customWidth="1"/>
    <col min="8" max="9" width="7.1328125" customWidth="1"/>
    <col min="10" max="10" width="7.73046875" customWidth="1"/>
    <col min="11" max="11" width="7.1328125" customWidth="1"/>
  </cols>
  <sheetData>
    <row r="1" spans="1:38" x14ac:dyDescent="0.4">
      <c r="A1" s="4" t="s">
        <v>0</v>
      </c>
      <c r="B1" s="4"/>
      <c r="C1" s="8">
        <f>'[1]1.需求输入表（需填写数据）'!$D$3</f>
        <v>2024</v>
      </c>
      <c r="D1" s="8">
        <f>'[1]1.需求输入表（需填写数据）'!$E$3</f>
        <v>2024</v>
      </c>
      <c r="E1" s="8">
        <f>'[1]1.需求输入表（需填写数据）'!$F$3</f>
        <v>2024</v>
      </c>
      <c r="F1" s="8">
        <f>'[1]1.需求输入表（需填写数据）'!$G$3</f>
        <v>2024</v>
      </c>
      <c r="G1" s="8">
        <f>'[1]1.需求输入表（需填写数据）'!$H$3</f>
        <v>2024</v>
      </c>
      <c r="H1" s="8">
        <f>'[1]1.需求输入表（需填写数据）'!$I$3</f>
        <v>2024</v>
      </c>
      <c r="I1" s="8">
        <f>'[1]1.需求输入表（需填写数据）'!$J$3</f>
        <v>2024</v>
      </c>
      <c r="J1" s="8">
        <f>'[1]1.需求输入表（需填写数据）'!$K$3</f>
        <v>2024</v>
      </c>
      <c r="K1" s="8">
        <f>'[1]1.需求输入表（需填写数据）'!$L$3</f>
        <v>2025</v>
      </c>
      <c r="L1" s="8">
        <f>'[1]1.需求输入表（需填写数据）'!$M$3</f>
        <v>2025</v>
      </c>
      <c r="M1" s="8">
        <f>'[1]1.需求输入表（需填写数据）'!$N$3</f>
        <v>2025</v>
      </c>
      <c r="N1" s="8">
        <f>'[1]1.需求输入表（需填写数据）'!$O$3</f>
        <v>2025</v>
      </c>
      <c r="O1" s="8">
        <f>'[1]1.需求输入表（需填写数据）'!$P$3</f>
        <v>2025</v>
      </c>
      <c r="P1" s="8">
        <f>'[1]1.需求输入表（需填写数据）'!$Q$3</f>
        <v>2025</v>
      </c>
      <c r="Q1" s="8">
        <f>'[1]1.需求输入表（需填写数据）'!$R$3</f>
        <v>2025</v>
      </c>
      <c r="R1" s="8">
        <f>'[1]1.需求输入表（需填写数据）'!$S$3</f>
        <v>2025</v>
      </c>
      <c r="S1" s="8">
        <f>'[1]1.需求输入表（需填写数据）'!$T$3</f>
        <v>2025</v>
      </c>
      <c r="T1" s="8">
        <f>'[1]1.需求输入表（需填写数据）'!$U$3</f>
        <v>2025</v>
      </c>
      <c r="U1" s="8">
        <f>'[1]1.需求输入表（需填写数据）'!$V$3</f>
        <v>2025</v>
      </c>
      <c r="V1" s="8">
        <f>'[1]1.需求输入表（需填写数据）'!$W$3</f>
        <v>2025</v>
      </c>
      <c r="W1" s="8">
        <f>'[1]1.需求输入表（需填写数据）'!$X$3</f>
        <v>2026</v>
      </c>
      <c r="X1" s="8">
        <f>'[1]1.需求输入表（需填写数据）'!$Y$3</f>
        <v>2026</v>
      </c>
      <c r="Y1" s="8">
        <f>'[1]1.需求输入表（需填写数据）'!$Z$3</f>
        <v>2026</v>
      </c>
      <c r="Z1" s="8">
        <f>'[1]1.需求输入表（需填写数据）'!$AA$3</f>
        <v>2026</v>
      </c>
      <c r="AA1" s="8">
        <f>'[1]1.需求输入表（需填写数据）'!$AB$3</f>
        <v>2026</v>
      </c>
      <c r="AB1" s="8">
        <f>'[1]1.需求输入表（需填写数据）'!$AC$3</f>
        <v>2026</v>
      </c>
      <c r="AC1" s="8">
        <f>'[1]1.需求输入表（需填写数据）'!$AD$3</f>
        <v>2026</v>
      </c>
      <c r="AD1" s="8">
        <f>'[1]1.需求输入表（需填写数据）'!$AE$3</f>
        <v>2026</v>
      </c>
      <c r="AE1" s="8">
        <f>'[1]1.需求输入表（需填写数据）'!$AF$3</f>
        <v>2026</v>
      </c>
      <c r="AF1" s="8">
        <f>'[1]1.需求输入表（需填写数据）'!$AG$3</f>
        <v>2026</v>
      </c>
      <c r="AG1" s="8">
        <f>'[1]1.需求输入表（需填写数据）'!$AH$3</f>
        <v>2026</v>
      </c>
      <c r="AH1" s="8">
        <f>'[1]1.需求输入表（需填写数据）'!$AI$3</f>
        <v>2026</v>
      </c>
      <c r="AI1" s="8">
        <f>'[1]1.需求输入表（需填写数据）'!$AJ$3</f>
        <v>2027</v>
      </c>
      <c r="AJ1" s="8">
        <f>'[1]1.需求输入表（需填写数据）'!$AK$3</f>
        <v>2027</v>
      </c>
      <c r="AK1" s="8">
        <f>'[1]1.需求输入表（需填写数据）'!$AL$3</f>
        <v>2027</v>
      </c>
      <c r="AL1" s="8">
        <f>'[1]1.需求输入表（需填写数据）'!$AM$3</f>
        <v>2027</v>
      </c>
    </row>
    <row r="2" spans="1:38" x14ac:dyDescent="0.4">
      <c r="A2" s="4"/>
      <c r="B2" s="4"/>
      <c r="C2" s="8" t="str">
        <f>'[1]1.需求输入表（需填写数据）'!$D$4</f>
        <v>AP5</v>
      </c>
      <c r="D2" s="8" t="str">
        <f>'[1]1.需求输入表（需填写数据）'!$E$4</f>
        <v>AP6</v>
      </c>
      <c r="E2" s="8" t="str">
        <f>'[1]1.需求输入表（需填写数据）'!$F$4</f>
        <v>AP7</v>
      </c>
      <c r="F2" s="8" t="str">
        <f>'[1]1.需求输入表（需填写数据）'!$G$4</f>
        <v>AP8</v>
      </c>
      <c r="G2" s="8" t="str">
        <f>'[1]1.需求输入表（需填写数据）'!$H$4</f>
        <v>AP9</v>
      </c>
      <c r="H2" s="8" t="str">
        <f>'[1]1.需求输入表（需填写数据）'!$I$4</f>
        <v>AP10</v>
      </c>
      <c r="I2" s="8" t="str">
        <f>'[1]1.需求输入表（需填写数据）'!$J$4</f>
        <v>AP11</v>
      </c>
      <c r="J2" s="8" t="str">
        <f>'[1]1.需求输入表（需填写数据）'!$K$4</f>
        <v>AP12</v>
      </c>
      <c r="K2" s="8" t="str">
        <f>'[1]1.需求输入表（需填写数据）'!$L$4</f>
        <v>AP1</v>
      </c>
      <c r="L2" s="8" t="str">
        <f>'[1]1.需求输入表（需填写数据）'!$M$4</f>
        <v>AP2</v>
      </c>
      <c r="M2" s="8" t="str">
        <f>'[1]1.需求输入表（需填写数据）'!$N$4</f>
        <v>AP3</v>
      </c>
      <c r="N2" s="8" t="str">
        <f>'[1]1.需求输入表（需填写数据）'!$O$4</f>
        <v>AP4</v>
      </c>
      <c r="O2" s="8" t="str">
        <f>'[1]1.需求输入表（需填写数据）'!$P$4</f>
        <v>AP5</v>
      </c>
      <c r="P2" s="8" t="str">
        <f>'[1]1.需求输入表（需填写数据）'!$Q$4</f>
        <v>AP6</v>
      </c>
      <c r="Q2" s="8" t="str">
        <f>'[1]1.需求输入表（需填写数据）'!$R$4</f>
        <v>AP7</v>
      </c>
      <c r="R2" s="8" t="str">
        <f>'[1]1.需求输入表（需填写数据）'!$S$4</f>
        <v>AP8</v>
      </c>
      <c r="S2" s="8" t="str">
        <f>'[1]1.需求输入表（需填写数据）'!$T$4</f>
        <v>AP9</v>
      </c>
      <c r="T2" s="8" t="str">
        <f>'[1]1.需求输入表（需填写数据）'!$U$4</f>
        <v>AP10</v>
      </c>
      <c r="U2" s="8" t="str">
        <f>'[1]1.需求输入表（需填写数据）'!$V$4</f>
        <v>AP11</v>
      </c>
      <c r="V2" s="8" t="str">
        <f>'[1]1.需求输入表（需填写数据）'!$W$4</f>
        <v>AP12</v>
      </c>
      <c r="W2" s="8" t="str">
        <f>'[1]1.需求输入表（需填写数据）'!$X$4</f>
        <v>AP1</v>
      </c>
      <c r="X2" s="8" t="str">
        <f>'[1]1.需求输入表（需填写数据）'!$Y$4</f>
        <v>AP2</v>
      </c>
      <c r="Y2" s="8" t="str">
        <f>'[1]1.需求输入表（需填写数据）'!$Z$4</f>
        <v>AP3</v>
      </c>
      <c r="Z2" s="8" t="str">
        <f>'[1]1.需求输入表（需填写数据）'!$AA$4</f>
        <v>AP4</v>
      </c>
      <c r="AA2" s="8" t="str">
        <f>'[1]1.需求输入表（需填写数据）'!$AB$4</f>
        <v>AP5</v>
      </c>
      <c r="AB2" s="8" t="str">
        <f>'[1]1.需求输入表（需填写数据）'!$AC$4</f>
        <v>AP6</v>
      </c>
      <c r="AC2" s="8" t="str">
        <f>'[1]1.需求输入表（需填写数据）'!$AD$4</f>
        <v>AP7</v>
      </c>
      <c r="AD2" s="8" t="str">
        <f>'[1]1.需求输入表（需填写数据）'!$AE$4</f>
        <v>AP8</v>
      </c>
      <c r="AE2" s="8" t="str">
        <f>'[1]1.需求输入表（需填写数据）'!$AF$4</f>
        <v>AP9</v>
      </c>
      <c r="AF2" s="8" t="str">
        <f>'[1]1.需求输入表（需填写数据）'!$AG$4</f>
        <v>AP10</v>
      </c>
      <c r="AG2" s="8" t="str">
        <f>'[1]1.需求输入表（需填写数据）'!$AH$4</f>
        <v>AP11</v>
      </c>
      <c r="AH2" s="8" t="str">
        <f>'[1]1.需求输入表（需填写数据）'!$AI$4</f>
        <v>AP12</v>
      </c>
      <c r="AI2" s="8" t="str">
        <f>'[1]1.需求输入表（需填写数据）'!$AJ$4</f>
        <v>AP1</v>
      </c>
      <c r="AJ2" s="8" t="str">
        <f>'[1]1.需求输入表（需填写数据）'!$AK$4</f>
        <v>AP2</v>
      </c>
      <c r="AK2" s="8" t="str">
        <f>'[1]1.需求输入表（需填写数据）'!$AL$4</f>
        <v>AP3</v>
      </c>
      <c r="AL2" s="8" t="str">
        <f>'[1]1.需求输入表（需填写数据）'!$AM$4</f>
        <v>AP4</v>
      </c>
    </row>
    <row r="3" spans="1:38" x14ac:dyDescent="0.4">
      <c r="A3" s="4" t="s">
        <v>1</v>
      </c>
      <c r="B3" t="s">
        <v>2</v>
      </c>
      <c r="C3" s="9">
        <v>2</v>
      </c>
      <c r="D3" s="9">
        <v>2</v>
      </c>
      <c r="E3" s="9">
        <v>2</v>
      </c>
      <c r="F3" s="9">
        <v>2</v>
      </c>
      <c r="G3" s="9">
        <v>2</v>
      </c>
      <c r="H3" s="9">
        <v>2</v>
      </c>
      <c r="I3" s="9">
        <v>2</v>
      </c>
      <c r="J3" s="9">
        <v>2</v>
      </c>
      <c r="K3" s="9">
        <v>2</v>
      </c>
      <c r="L3" s="9">
        <v>2</v>
      </c>
      <c r="M3" s="9">
        <v>2</v>
      </c>
      <c r="N3" s="9">
        <v>2</v>
      </c>
      <c r="O3" s="9">
        <v>2</v>
      </c>
      <c r="P3" s="9">
        <v>2</v>
      </c>
      <c r="Q3" s="9">
        <v>2</v>
      </c>
      <c r="R3" s="9">
        <v>2</v>
      </c>
      <c r="S3" s="9">
        <v>2</v>
      </c>
      <c r="T3" s="9">
        <v>2</v>
      </c>
      <c r="U3" s="9">
        <v>2</v>
      </c>
      <c r="V3" s="9">
        <v>2</v>
      </c>
      <c r="W3" s="9">
        <v>2</v>
      </c>
      <c r="X3" s="9">
        <v>2</v>
      </c>
      <c r="Y3" s="9">
        <v>2</v>
      </c>
      <c r="Z3" s="9">
        <v>2</v>
      </c>
      <c r="AA3" s="9">
        <v>2</v>
      </c>
      <c r="AB3" s="9">
        <v>2</v>
      </c>
      <c r="AC3" s="9">
        <v>2</v>
      </c>
      <c r="AD3" s="9">
        <v>2</v>
      </c>
      <c r="AE3" s="9">
        <v>2</v>
      </c>
      <c r="AF3" s="9">
        <v>2</v>
      </c>
      <c r="AG3" s="9">
        <v>2</v>
      </c>
      <c r="AH3" s="9">
        <v>2</v>
      </c>
      <c r="AI3" s="9">
        <v>2</v>
      </c>
      <c r="AJ3" s="9">
        <v>2</v>
      </c>
      <c r="AK3" s="9">
        <v>2</v>
      </c>
      <c r="AL3" s="9">
        <v>2</v>
      </c>
    </row>
    <row r="4" spans="1:38" ht="13.9" customHeight="1" x14ac:dyDescent="0.4">
      <c r="A4" s="4"/>
      <c r="B4" t="s">
        <v>3</v>
      </c>
      <c r="C4" s="9">
        <v>2</v>
      </c>
      <c r="D4" s="9">
        <v>2</v>
      </c>
      <c r="E4" s="9">
        <v>2</v>
      </c>
      <c r="F4" s="9">
        <v>2</v>
      </c>
      <c r="G4" s="9">
        <v>2</v>
      </c>
      <c r="H4" s="9">
        <v>2</v>
      </c>
      <c r="I4" s="9">
        <v>2</v>
      </c>
      <c r="J4" s="9">
        <v>2</v>
      </c>
      <c r="K4" s="9">
        <v>2</v>
      </c>
      <c r="L4" s="9">
        <v>2</v>
      </c>
      <c r="M4" s="9">
        <v>2</v>
      </c>
      <c r="N4" s="9">
        <v>2</v>
      </c>
      <c r="O4" s="9">
        <v>2</v>
      </c>
      <c r="P4" s="9">
        <v>2</v>
      </c>
      <c r="Q4" s="9">
        <v>2</v>
      </c>
      <c r="R4" s="9">
        <v>2</v>
      </c>
      <c r="S4" s="9">
        <v>2</v>
      </c>
      <c r="T4" s="9">
        <v>2</v>
      </c>
      <c r="U4" s="9">
        <v>2</v>
      </c>
      <c r="V4" s="9">
        <v>2</v>
      </c>
      <c r="W4" s="9">
        <v>2</v>
      </c>
      <c r="X4" s="9">
        <v>2</v>
      </c>
      <c r="Y4" s="9">
        <v>2</v>
      </c>
      <c r="Z4" s="9">
        <v>2</v>
      </c>
      <c r="AA4" s="9">
        <v>2</v>
      </c>
      <c r="AB4" s="9">
        <v>2</v>
      </c>
      <c r="AC4" s="9">
        <v>2</v>
      </c>
      <c r="AD4" s="9">
        <v>2</v>
      </c>
      <c r="AE4" s="9">
        <v>2</v>
      </c>
      <c r="AF4" s="9">
        <v>2</v>
      </c>
      <c r="AG4" s="9">
        <v>2</v>
      </c>
      <c r="AH4" s="9">
        <v>2</v>
      </c>
      <c r="AI4" s="9">
        <v>2</v>
      </c>
      <c r="AJ4" s="9">
        <v>2</v>
      </c>
      <c r="AK4" s="9">
        <v>2</v>
      </c>
      <c r="AL4" s="9">
        <v>2</v>
      </c>
    </row>
    <row r="5" spans="1:38" x14ac:dyDescent="0.4">
      <c r="A5" s="4"/>
      <c r="B5" t="s">
        <v>4</v>
      </c>
    </row>
    <row r="6" spans="1:38" x14ac:dyDescent="0.4">
      <c r="A6" s="4"/>
      <c r="B6" t="s">
        <v>5</v>
      </c>
    </row>
    <row r="7" spans="1:38" x14ac:dyDescent="0.4">
      <c r="A7" s="5" t="s">
        <v>6</v>
      </c>
      <c r="B7" s="5"/>
      <c r="C7" s="6"/>
      <c r="D7" s="6"/>
      <c r="E7" s="6"/>
      <c r="F7" s="6"/>
      <c r="G7" s="6"/>
    </row>
    <row r="8" spans="1:38" x14ac:dyDescent="0.4">
      <c r="A8" s="1" t="s">
        <v>7</v>
      </c>
      <c r="B8" s="1" t="s">
        <v>9</v>
      </c>
      <c r="C8" s="5" t="s">
        <v>10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x14ac:dyDescent="0.4">
      <c r="A9" s="1" t="s">
        <v>2</v>
      </c>
      <c r="B9" s="1">
        <v>8</v>
      </c>
      <c r="C9" s="1">
        <v>23</v>
      </c>
      <c r="D9" s="1">
        <v>23</v>
      </c>
      <c r="E9" s="1">
        <v>23</v>
      </c>
      <c r="F9" s="1">
        <v>23</v>
      </c>
      <c r="G9" s="1">
        <v>23</v>
      </c>
      <c r="H9" s="1">
        <v>23</v>
      </c>
      <c r="I9" s="1">
        <v>23</v>
      </c>
      <c r="J9" s="1">
        <v>23</v>
      </c>
      <c r="K9" s="1">
        <v>23</v>
      </c>
      <c r="L9" s="1">
        <v>23</v>
      </c>
      <c r="M9" s="1">
        <v>23</v>
      </c>
      <c r="N9" s="1">
        <v>23</v>
      </c>
      <c r="O9" s="1">
        <v>23</v>
      </c>
      <c r="P9" s="1">
        <v>23</v>
      </c>
      <c r="Q9" s="1">
        <v>23</v>
      </c>
      <c r="R9" s="1">
        <v>23</v>
      </c>
      <c r="S9" s="1">
        <v>23</v>
      </c>
      <c r="T9" s="1">
        <v>23</v>
      </c>
      <c r="U9" s="1">
        <v>23</v>
      </c>
      <c r="V9" s="1">
        <v>23</v>
      </c>
      <c r="W9" s="1">
        <v>23</v>
      </c>
      <c r="X9" s="1">
        <v>23</v>
      </c>
      <c r="Y9" s="1">
        <v>23</v>
      </c>
      <c r="Z9" s="1">
        <v>23</v>
      </c>
      <c r="AA9" s="1">
        <v>23</v>
      </c>
      <c r="AB9" s="1">
        <v>23</v>
      </c>
      <c r="AC9" s="1">
        <v>23</v>
      </c>
      <c r="AD9" s="1">
        <v>23</v>
      </c>
      <c r="AE9" s="1">
        <v>23</v>
      </c>
      <c r="AF9" s="1">
        <v>23</v>
      </c>
      <c r="AG9" s="1">
        <v>23</v>
      </c>
      <c r="AH9" s="1">
        <v>23</v>
      </c>
      <c r="AI9" s="1">
        <v>23</v>
      </c>
      <c r="AJ9" s="1">
        <v>23</v>
      </c>
      <c r="AK9" s="1">
        <v>23</v>
      </c>
      <c r="AL9" s="1">
        <v>23</v>
      </c>
    </row>
    <row r="10" spans="1:38" x14ac:dyDescent="0.4">
      <c r="A10" s="1" t="s">
        <v>3</v>
      </c>
      <c r="B10" s="1">
        <v>7</v>
      </c>
      <c r="C10" s="1">
        <v>23</v>
      </c>
      <c r="D10" s="1">
        <v>23</v>
      </c>
      <c r="E10" s="1">
        <v>23</v>
      </c>
      <c r="F10" s="1">
        <v>23</v>
      </c>
      <c r="G10" s="1">
        <v>23</v>
      </c>
      <c r="H10" s="1">
        <v>23</v>
      </c>
      <c r="I10" s="1">
        <v>23</v>
      </c>
      <c r="J10" s="1">
        <v>23</v>
      </c>
      <c r="K10" s="1">
        <v>23</v>
      </c>
      <c r="L10" s="1">
        <v>23</v>
      </c>
      <c r="M10" s="1">
        <v>23</v>
      </c>
      <c r="N10" s="1">
        <v>23</v>
      </c>
      <c r="O10" s="1">
        <v>23</v>
      </c>
      <c r="P10" s="1">
        <v>23</v>
      </c>
      <c r="Q10" s="1">
        <v>23</v>
      </c>
      <c r="R10" s="1">
        <v>23</v>
      </c>
      <c r="S10" s="1">
        <v>23</v>
      </c>
      <c r="T10" s="1">
        <v>23</v>
      </c>
      <c r="U10" s="1">
        <v>23</v>
      </c>
      <c r="V10" s="1">
        <v>23</v>
      </c>
      <c r="W10" s="1">
        <v>23</v>
      </c>
      <c r="X10" s="1">
        <v>23</v>
      </c>
      <c r="Y10" s="1">
        <v>23</v>
      </c>
      <c r="Z10" s="1">
        <v>23</v>
      </c>
      <c r="AA10" s="1">
        <v>23</v>
      </c>
      <c r="AB10" s="1">
        <v>23</v>
      </c>
      <c r="AC10" s="1">
        <v>23</v>
      </c>
      <c r="AD10" s="1">
        <v>23</v>
      </c>
      <c r="AE10" s="1">
        <v>23</v>
      </c>
      <c r="AF10" s="1">
        <v>23</v>
      </c>
      <c r="AG10" s="1">
        <v>23</v>
      </c>
      <c r="AH10" s="1">
        <v>23</v>
      </c>
      <c r="AI10" s="1">
        <v>23</v>
      </c>
      <c r="AJ10" s="1">
        <v>23</v>
      </c>
      <c r="AK10" s="1">
        <v>23</v>
      </c>
      <c r="AL10" s="1">
        <v>23</v>
      </c>
    </row>
    <row r="11" spans="1:38" x14ac:dyDescent="0.4">
      <c r="A11" s="1" t="s">
        <v>4</v>
      </c>
      <c r="B11" s="1"/>
    </row>
    <row r="12" spans="1:38" x14ac:dyDescent="0.4">
      <c r="A12" s="1" t="s">
        <v>8</v>
      </c>
      <c r="B12" s="1"/>
    </row>
    <row r="13" spans="1:38" x14ac:dyDescent="0.4">
      <c r="A13" s="6"/>
      <c r="B13" s="6"/>
      <c r="C13" s="6"/>
      <c r="D13" s="6"/>
      <c r="E13" s="6"/>
      <c r="F13" s="6"/>
      <c r="G13" s="6"/>
    </row>
    <row r="14" spans="1:38" x14ac:dyDescent="0.4">
      <c r="A14" s="6" t="s">
        <v>11</v>
      </c>
      <c r="B14" s="6"/>
      <c r="C14" s="2">
        <f>SUMPRODUCT(C3:C4, C9:C10,$B9:$B10)</f>
        <v>690</v>
      </c>
      <c r="D14" s="2">
        <f t="shared" ref="D14:AL14" si="0">SUMPRODUCT(D3:D4, D9:D10,$B9:$B10)</f>
        <v>690</v>
      </c>
      <c r="E14" s="2">
        <f t="shared" si="0"/>
        <v>690</v>
      </c>
      <c r="F14" s="2">
        <f t="shared" si="0"/>
        <v>690</v>
      </c>
      <c r="G14" s="2">
        <f t="shared" si="0"/>
        <v>690</v>
      </c>
      <c r="H14" s="2">
        <f t="shared" si="0"/>
        <v>690</v>
      </c>
      <c r="I14" s="2">
        <f t="shared" si="0"/>
        <v>690</v>
      </c>
      <c r="J14" s="2">
        <f t="shared" si="0"/>
        <v>690</v>
      </c>
      <c r="K14" s="2">
        <f t="shared" si="0"/>
        <v>690</v>
      </c>
      <c r="L14" s="2">
        <f t="shared" si="0"/>
        <v>690</v>
      </c>
      <c r="M14" s="2">
        <f t="shared" si="0"/>
        <v>690</v>
      </c>
      <c r="N14" s="2">
        <f t="shared" si="0"/>
        <v>690</v>
      </c>
      <c r="O14" s="2">
        <f t="shared" si="0"/>
        <v>690</v>
      </c>
      <c r="P14" s="2">
        <f t="shared" si="0"/>
        <v>690</v>
      </c>
      <c r="Q14" s="2">
        <f t="shared" si="0"/>
        <v>690</v>
      </c>
      <c r="R14" s="2">
        <f t="shared" si="0"/>
        <v>690</v>
      </c>
      <c r="S14" s="2">
        <f t="shared" si="0"/>
        <v>690</v>
      </c>
      <c r="T14" s="2">
        <f t="shared" si="0"/>
        <v>690</v>
      </c>
      <c r="U14" s="2">
        <f t="shared" si="0"/>
        <v>690</v>
      </c>
      <c r="V14" s="2">
        <f t="shared" si="0"/>
        <v>690</v>
      </c>
      <c r="W14" s="2">
        <f t="shared" si="0"/>
        <v>690</v>
      </c>
      <c r="X14" s="2">
        <f t="shared" si="0"/>
        <v>690</v>
      </c>
      <c r="Y14" s="2">
        <f t="shared" si="0"/>
        <v>690</v>
      </c>
      <c r="Z14" s="2">
        <f t="shared" si="0"/>
        <v>690</v>
      </c>
      <c r="AA14" s="2">
        <f t="shared" si="0"/>
        <v>690</v>
      </c>
      <c r="AB14" s="2">
        <f t="shared" si="0"/>
        <v>690</v>
      </c>
      <c r="AC14" s="2">
        <f t="shared" si="0"/>
        <v>690</v>
      </c>
      <c r="AD14" s="2">
        <f t="shared" si="0"/>
        <v>690</v>
      </c>
      <c r="AE14" s="2">
        <f t="shared" si="0"/>
        <v>690</v>
      </c>
      <c r="AF14" s="2">
        <f t="shared" si="0"/>
        <v>690</v>
      </c>
      <c r="AG14" s="2">
        <f t="shared" si="0"/>
        <v>690</v>
      </c>
      <c r="AH14" s="2">
        <f t="shared" si="0"/>
        <v>690</v>
      </c>
      <c r="AI14" s="2">
        <f t="shared" si="0"/>
        <v>690</v>
      </c>
      <c r="AJ14" s="2">
        <f t="shared" si="0"/>
        <v>690</v>
      </c>
      <c r="AK14" s="2">
        <f t="shared" si="0"/>
        <v>690</v>
      </c>
      <c r="AL14" s="2">
        <f t="shared" si="0"/>
        <v>690</v>
      </c>
    </row>
    <row r="15" spans="1:38" x14ac:dyDescent="0.4">
      <c r="A15" s="10" t="s">
        <v>12</v>
      </c>
      <c r="B15" s="10"/>
      <c r="C15" s="11">
        <v>1</v>
      </c>
      <c r="D15" s="11">
        <v>1</v>
      </c>
      <c r="E15" s="11">
        <v>1</v>
      </c>
      <c r="F15" s="11">
        <v>1</v>
      </c>
      <c r="G15" s="11">
        <v>1</v>
      </c>
      <c r="H15" s="11">
        <v>1</v>
      </c>
      <c r="I15" s="11">
        <v>1</v>
      </c>
      <c r="J15" s="11">
        <v>1</v>
      </c>
      <c r="K15" s="11">
        <v>1</v>
      </c>
      <c r="L15" s="11">
        <v>1</v>
      </c>
      <c r="M15" s="11">
        <v>1</v>
      </c>
      <c r="N15" s="11">
        <v>1</v>
      </c>
      <c r="O15" s="11">
        <v>1</v>
      </c>
      <c r="P15" s="11">
        <v>1</v>
      </c>
      <c r="Q15" s="11">
        <v>1</v>
      </c>
      <c r="R15" s="11">
        <v>1</v>
      </c>
      <c r="S15" s="11">
        <v>1</v>
      </c>
      <c r="T15" s="11">
        <v>1</v>
      </c>
      <c r="U15" s="11">
        <v>1</v>
      </c>
      <c r="V15" s="11">
        <v>1</v>
      </c>
      <c r="W15" s="11">
        <v>1</v>
      </c>
      <c r="X15" s="11">
        <v>1</v>
      </c>
      <c r="Y15" s="11">
        <v>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1">
        <v>1</v>
      </c>
      <c r="AG15" s="11">
        <v>1</v>
      </c>
      <c r="AH15" s="11">
        <v>1</v>
      </c>
      <c r="AI15" s="11">
        <v>1</v>
      </c>
      <c r="AJ15" s="11">
        <v>1</v>
      </c>
      <c r="AK15" s="11">
        <v>1</v>
      </c>
      <c r="AL15" s="11">
        <v>1</v>
      </c>
    </row>
    <row r="16" spans="1:38" x14ac:dyDescent="0.4">
      <c r="A16" s="10" t="s">
        <v>13</v>
      </c>
      <c r="B16" s="10"/>
      <c r="C16" s="12">
        <v>0.85</v>
      </c>
      <c r="D16" s="12">
        <v>0.85</v>
      </c>
      <c r="E16" s="12">
        <v>0.85</v>
      </c>
      <c r="F16" s="12">
        <v>0.85</v>
      </c>
      <c r="G16" s="12">
        <v>0.85</v>
      </c>
      <c r="H16" s="12">
        <v>0.85</v>
      </c>
      <c r="I16" s="12">
        <v>0.85</v>
      </c>
      <c r="J16" s="12">
        <v>0.85</v>
      </c>
      <c r="K16" s="12">
        <v>0.85</v>
      </c>
      <c r="L16" s="12">
        <v>0.85</v>
      </c>
      <c r="M16" s="12">
        <v>0.85</v>
      </c>
      <c r="N16" s="12">
        <v>0.85</v>
      </c>
      <c r="O16" s="12">
        <v>0.85</v>
      </c>
      <c r="P16" s="12">
        <v>0.85</v>
      </c>
      <c r="Q16" s="12">
        <v>0.85</v>
      </c>
      <c r="R16" s="12">
        <v>0.85</v>
      </c>
      <c r="S16" s="12">
        <v>0.85</v>
      </c>
      <c r="T16" s="12">
        <v>0.85</v>
      </c>
      <c r="U16" s="12">
        <v>0.85</v>
      </c>
      <c r="V16" s="12">
        <v>0.85</v>
      </c>
      <c r="W16" s="12">
        <v>0.85</v>
      </c>
      <c r="X16" s="12">
        <v>0.85</v>
      </c>
      <c r="Y16" s="12">
        <v>0.85</v>
      </c>
      <c r="Z16" s="12">
        <v>0.85</v>
      </c>
      <c r="AA16" s="12">
        <v>0.85</v>
      </c>
      <c r="AB16" s="12">
        <v>0.85</v>
      </c>
      <c r="AC16" s="12">
        <v>0.85</v>
      </c>
      <c r="AD16" s="12">
        <v>0.85</v>
      </c>
      <c r="AE16" s="12">
        <v>0.85</v>
      </c>
      <c r="AF16" s="12">
        <v>0.85</v>
      </c>
      <c r="AG16" s="12">
        <v>0.85</v>
      </c>
      <c r="AH16" s="12">
        <v>0.85</v>
      </c>
      <c r="AI16" s="12">
        <v>0.85</v>
      </c>
      <c r="AJ16" s="12">
        <v>0.85</v>
      </c>
      <c r="AK16" s="12">
        <v>0.85</v>
      </c>
      <c r="AL16" s="12">
        <v>0.85</v>
      </c>
    </row>
    <row r="17" spans="1:38" x14ac:dyDescent="0.4">
      <c r="A17" s="6" t="s">
        <v>14</v>
      </c>
      <c r="B17" s="6"/>
      <c r="C17" s="1">
        <f>C14*C15*C16</f>
        <v>586.5</v>
      </c>
      <c r="D17" s="1">
        <f t="shared" ref="D17:AL17" si="1">D14*D15*D16</f>
        <v>586.5</v>
      </c>
      <c r="E17" s="1">
        <f t="shared" si="1"/>
        <v>586.5</v>
      </c>
      <c r="F17" s="1">
        <f t="shared" si="1"/>
        <v>586.5</v>
      </c>
      <c r="G17" s="1">
        <f t="shared" si="1"/>
        <v>586.5</v>
      </c>
      <c r="H17" s="1">
        <f t="shared" si="1"/>
        <v>586.5</v>
      </c>
      <c r="I17" s="1">
        <f t="shared" si="1"/>
        <v>586.5</v>
      </c>
      <c r="J17" s="1">
        <f t="shared" si="1"/>
        <v>586.5</v>
      </c>
      <c r="K17" s="1">
        <f t="shared" si="1"/>
        <v>586.5</v>
      </c>
      <c r="L17" s="1">
        <f t="shared" si="1"/>
        <v>586.5</v>
      </c>
      <c r="M17" s="1">
        <f t="shared" si="1"/>
        <v>586.5</v>
      </c>
      <c r="N17" s="1">
        <f t="shared" si="1"/>
        <v>586.5</v>
      </c>
      <c r="O17" s="1">
        <f t="shared" si="1"/>
        <v>586.5</v>
      </c>
      <c r="P17" s="1">
        <f t="shared" si="1"/>
        <v>586.5</v>
      </c>
      <c r="Q17" s="1">
        <f t="shared" si="1"/>
        <v>586.5</v>
      </c>
      <c r="R17" s="1">
        <f t="shared" si="1"/>
        <v>586.5</v>
      </c>
      <c r="S17" s="1">
        <f t="shared" si="1"/>
        <v>586.5</v>
      </c>
      <c r="T17" s="1">
        <f t="shared" si="1"/>
        <v>586.5</v>
      </c>
      <c r="U17" s="1">
        <f t="shared" si="1"/>
        <v>586.5</v>
      </c>
      <c r="V17" s="1">
        <f t="shared" si="1"/>
        <v>586.5</v>
      </c>
      <c r="W17" s="1">
        <f t="shared" si="1"/>
        <v>586.5</v>
      </c>
      <c r="X17" s="1">
        <f t="shared" si="1"/>
        <v>586.5</v>
      </c>
      <c r="Y17" s="1">
        <f t="shared" si="1"/>
        <v>586.5</v>
      </c>
      <c r="Z17" s="1">
        <f t="shared" si="1"/>
        <v>586.5</v>
      </c>
      <c r="AA17" s="1">
        <f t="shared" si="1"/>
        <v>586.5</v>
      </c>
      <c r="AB17" s="1">
        <f t="shared" si="1"/>
        <v>586.5</v>
      </c>
      <c r="AC17" s="1">
        <f t="shared" si="1"/>
        <v>586.5</v>
      </c>
      <c r="AD17" s="1">
        <f t="shared" si="1"/>
        <v>586.5</v>
      </c>
      <c r="AE17" s="1">
        <f t="shared" si="1"/>
        <v>586.5</v>
      </c>
      <c r="AF17" s="1">
        <f t="shared" si="1"/>
        <v>586.5</v>
      </c>
      <c r="AG17" s="1">
        <f t="shared" si="1"/>
        <v>586.5</v>
      </c>
      <c r="AH17" s="1">
        <f t="shared" si="1"/>
        <v>586.5</v>
      </c>
      <c r="AI17" s="1">
        <f t="shared" si="1"/>
        <v>586.5</v>
      </c>
      <c r="AJ17" s="1">
        <f t="shared" si="1"/>
        <v>586.5</v>
      </c>
      <c r="AK17" s="1">
        <f t="shared" si="1"/>
        <v>586.5</v>
      </c>
      <c r="AL17" s="1">
        <f t="shared" si="1"/>
        <v>586.5</v>
      </c>
    </row>
    <row r="18" spans="1:38" x14ac:dyDescent="0.4">
      <c r="A18" s="10" t="s">
        <v>15</v>
      </c>
      <c r="B18" s="10"/>
      <c r="C18" s="11">
        <v>0.2</v>
      </c>
      <c r="D18" s="11">
        <v>0.2</v>
      </c>
      <c r="E18" s="11">
        <v>0.2</v>
      </c>
      <c r="F18" s="11">
        <v>0.2</v>
      </c>
      <c r="G18" s="11">
        <v>0.2</v>
      </c>
      <c r="H18" s="11">
        <v>0.2</v>
      </c>
      <c r="I18" s="11">
        <v>0.2</v>
      </c>
      <c r="J18" s="11">
        <v>0.2</v>
      </c>
      <c r="K18" s="11">
        <v>0.2</v>
      </c>
      <c r="L18" s="11">
        <v>0.2</v>
      </c>
      <c r="M18" s="11">
        <v>0.2</v>
      </c>
      <c r="N18" s="11">
        <v>0.2</v>
      </c>
      <c r="O18" s="11">
        <v>0.2</v>
      </c>
      <c r="P18" s="11">
        <v>0.2</v>
      </c>
      <c r="Q18" s="11">
        <v>0.2</v>
      </c>
      <c r="R18" s="11">
        <v>0.2</v>
      </c>
      <c r="S18" s="11">
        <v>0.2</v>
      </c>
      <c r="T18" s="11">
        <v>0.2</v>
      </c>
      <c r="U18" s="11">
        <v>0.2</v>
      </c>
      <c r="V18" s="11">
        <v>0.2</v>
      </c>
      <c r="W18" s="11">
        <v>0.2</v>
      </c>
      <c r="X18" s="11">
        <v>0.2</v>
      </c>
      <c r="Y18" s="11">
        <v>0.2</v>
      </c>
      <c r="Z18" s="11">
        <v>0.2</v>
      </c>
      <c r="AA18" s="11">
        <v>0.2</v>
      </c>
      <c r="AB18" s="11">
        <v>0.2</v>
      </c>
      <c r="AC18" s="11">
        <v>0.2</v>
      </c>
      <c r="AD18" s="11">
        <v>0.2</v>
      </c>
      <c r="AE18" s="11">
        <v>0.2</v>
      </c>
      <c r="AF18" s="11">
        <v>0.2</v>
      </c>
      <c r="AG18" s="11">
        <v>0.2</v>
      </c>
      <c r="AH18" s="11">
        <v>0.2</v>
      </c>
      <c r="AI18" s="11">
        <v>0.2</v>
      </c>
      <c r="AJ18" s="11">
        <v>0.2</v>
      </c>
      <c r="AK18" s="11">
        <v>0.2</v>
      </c>
      <c r="AL18" s="11">
        <v>0.2</v>
      </c>
    </row>
    <row r="19" spans="1:38" x14ac:dyDescent="0.4">
      <c r="A19" s="6" t="s">
        <v>16</v>
      </c>
      <c r="B19" s="6"/>
      <c r="C19" s="3">
        <f>C17+C17*C18</f>
        <v>703.8</v>
      </c>
      <c r="D19" s="3">
        <v>703.8</v>
      </c>
      <c r="E19" s="3">
        <v>703.8</v>
      </c>
      <c r="F19" s="3">
        <v>703.8</v>
      </c>
      <c r="G19" s="3">
        <v>703.8</v>
      </c>
      <c r="H19" s="3">
        <v>703.8</v>
      </c>
      <c r="I19" s="3">
        <v>703.8</v>
      </c>
      <c r="J19" s="3">
        <v>703.8</v>
      </c>
      <c r="K19" s="3">
        <v>703.8</v>
      </c>
      <c r="L19" s="3">
        <v>703.8</v>
      </c>
      <c r="M19" s="3">
        <v>703.8</v>
      </c>
      <c r="N19" s="3">
        <v>703.8</v>
      </c>
      <c r="O19" s="3">
        <v>703.8</v>
      </c>
      <c r="P19" s="3">
        <v>703.8</v>
      </c>
      <c r="Q19" s="3">
        <v>703.8</v>
      </c>
      <c r="R19" s="3">
        <v>703.8</v>
      </c>
      <c r="S19" s="3">
        <v>703.8</v>
      </c>
      <c r="T19" s="3">
        <v>703.8</v>
      </c>
      <c r="U19" s="3">
        <v>703.8</v>
      </c>
      <c r="V19" s="3">
        <v>703.8</v>
      </c>
      <c r="W19" s="3">
        <v>703.8</v>
      </c>
      <c r="X19" s="3">
        <v>703.8</v>
      </c>
      <c r="Y19" s="3">
        <v>703.8</v>
      </c>
      <c r="Z19" s="3">
        <v>703.8</v>
      </c>
      <c r="AA19" s="3">
        <v>703.8</v>
      </c>
      <c r="AB19" s="3">
        <v>703.8</v>
      </c>
      <c r="AC19" s="3">
        <v>703.8</v>
      </c>
      <c r="AD19" s="3">
        <v>703.8</v>
      </c>
      <c r="AE19" s="3">
        <v>703.8</v>
      </c>
      <c r="AF19" s="3">
        <v>703.8</v>
      </c>
      <c r="AG19" s="3">
        <v>703.8</v>
      </c>
      <c r="AH19" s="3">
        <v>703.8</v>
      </c>
      <c r="AI19" s="3">
        <v>703.8</v>
      </c>
      <c r="AJ19" s="3">
        <v>703.8</v>
      </c>
      <c r="AK19" s="3">
        <v>703.8</v>
      </c>
      <c r="AL19" s="3">
        <v>703.8</v>
      </c>
    </row>
    <row r="20" spans="1:38" x14ac:dyDescent="0.4">
      <c r="A20" s="7" t="s">
        <v>17</v>
      </c>
      <c r="B20" s="7"/>
      <c r="C20" s="13">
        <v>488</v>
      </c>
      <c r="D20" s="13">
        <v>610</v>
      </c>
      <c r="E20" s="13">
        <v>610</v>
      </c>
      <c r="F20" s="13">
        <v>610</v>
      </c>
      <c r="G20" s="13">
        <v>610</v>
      </c>
      <c r="H20" s="13">
        <v>610</v>
      </c>
      <c r="I20" s="13">
        <v>610</v>
      </c>
      <c r="J20" s="13">
        <v>610</v>
      </c>
      <c r="K20" s="13">
        <v>610</v>
      </c>
      <c r="L20" s="13">
        <v>610</v>
      </c>
      <c r="M20" s="13">
        <v>610</v>
      </c>
      <c r="N20" s="13">
        <v>732</v>
      </c>
      <c r="O20" s="13">
        <v>488</v>
      </c>
      <c r="P20" s="13">
        <v>610</v>
      </c>
      <c r="Q20" s="13">
        <v>610</v>
      </c>
      <c r="R20" s="13">
        <v>610</v>
      </c>
      <c r="S20" s="13">
        <v>610</v>
      </c>
      <c r="T20" s="13">
        <v>610</v>
      </c>
      <c r="U20" s="13">
        <v>610</v>
      </c>
      <c r="V20" s="13">
        <v>610</v>
      </c>
      <c r="W20" s="13">
        <v>610</v>
      </c>
      <c r="X20" s="13">
        <v>610</v>
      </c>
      <c r="Y20" s="13">
        <v>610</v>
      </c>
      <c r="Z20" s="13">
        <v>732</v>
      </c>
      <c r="AA20" s="13">
        <v>488</v>
      </c>
      <c r="AB20" s="13">
        <v>610</v>
      </c>
      <c r="AC20" s="13">
        <v>610</v>
      </c>
      <c r="AD20" s="13">
        <v>610</v>
      </c>
      <c r="AE20" s="13">
        <v>610</v>
      </c>
      <c r="AF20" s="13">
        <v>610</v>
      </c>
      <c r="AG20" s="13">
        <v>610</v>
      </c>
      <c r="AH20" s="13">
        <v>610</v>
      </c>
      <c r="AI20" s="13">
        <v>610</v>
      </c>
      <c r="AJ20" s="13">
        <v>610</v>
      </c>
      <c r="AK20" s="13">
        <v>610</v>
      </c>
      <c r="AL20" s="13">
        <v>732</v>
      </c>
    </row>
    <row r="21" spans="1:38" x14ac:dyDescent="0.4">
      <c r="A21" s="6" t="s">
        <v>18</v>
      </c>
      <c r="B21" s="6"/>
      <c r="C21" s="2">
        <f>IFERROR(C17-C20,"")</f>
        <v>98.5</v>
      </c>
      <c r="D21" s="2">
        <f t="shared" ref="D21:G21" si="2">IFERROR(D17-D20,"")</f>
        <v>-23.5</v>
      </c>
      <c r="E21" s="2">
        <f t="shared" si="2"/>
        <v>-23.5</v>
      </c>
      <c r="F21" s="2">
        <f t="shared" si="2"/>
        <v>-23.5</v>
      </c>
      <c r="G21" s="2">
        <f t="shared" si="2"/>
        <v>-23.5</v>
      </c>
      <c r="H21" s="2">
        <f t="shared" ref="H21:AL21" si="3">IFERROR(H17-H20,"")</f>
        <v>-23.5</v>
      </c>
      <c r="I21" s="2">
        <f t="shared" si="3"/>
        <v>-23.5</v>
      </c>
      <c r="J21" s="2">
        <f t="shared" si="3"/>
        <v>-23.5</v>
      </c>
      <c r="K21" s="2">
        <f t="shared" si="3"/>
        <v>-23.5</v>
      </c>
      <c r="L21" s="2">
        <f t="shared" si="3"/>
        <v>-23.5</v>
      </c>
      <c r="M21" s="2">
        <f t="shared" si="3"/>
        <v>-23.5</v>
      </c>
      <c r="N21" s="2">
        <f t="shared" si="3"/>
        <v>-145.5</v>
      </c>
      <c r="O21" s="2">
        <f t="shared" si="3"/>
        <v>98.5</v>
      </c>
      <c r="P21" s="2">
        <f t="shared" si="3"/>
        <v>-23.5</v>
      </c>
      <c r="Q21" s="2">
        <f t="shared" si="3"/>
        <v>-23.5</v>
      </c>
      <c r="R21" s="2">
        <f t="shared" si="3"/>
        <v>-23.5</v>
      </c>
      <c r="S21" s="2">
        <f t="shared" si="3"/>
        <v>-23.5</v>
      </c>
      <c r="T21" s="2">
        <f t="shared" si="3"/>
        <v>-23.5</v>
      </c>
      <c r="U21" s="2">
        <f t="shared" si="3"/>
        <v>-23.5</v>
      </c>
      <c r="V21" s="2">
        <f t="shared" si="3"/>
        <v>-23.5</v>
      </c>
      <c r="W21" s="2">
        <f t="shared" si="3"/>
        <v>-23.5</v>
      </c>
      <c r="X21" s="2">
        <f t="shared" si="3"/>
        <v>-23.5</v>
      </c>
      <c r="Y21" s="2">
        <f t="shared" si="3"/>
        <v>-23.5</v>
      </c>
      <c r="Z21" s="2">
        <f t="shared" si="3"/>
        <v>-145.5</v>
      </c>
      <c r="AA21" s="2">
        <f t="shared" si="3"/>
        <v>98.5</v>
      </c>
      <c r="AB21" s="2">
        <f t="shared" si="3"/>
        <v>-23.5</v>
      </c>
      <c r="AC21" s="2">
        <f t="shared" si="3"/>
        <v>-23.5</v>
      </c>
      <c r="AD21" s="2">
        <f t="shared" si="3"/>
        <v>-23.5</v>
      </c>
      <c r="AE21" s="2">
        <f t="shared" si="3"/>
        <v>-23.5</v>
      </c>
      <c r="AF21" s="2">
        <f t="shared" si="3"/>
        <v>-23.5</v>
      </c>
      <c r="AG21" s="2">
        <f t="shared" si="3"/>
        <v>-23.5</v>
      </c>
      <c r="AH21" s="2">
        <f t="shared" si="3"/>
        <v>-23.5</v>
      </c>
      <c r="AI21" s="2">
        <f t="shared" si="3"/>
        <v>-23.5</v>
      </c>
      <c r="AJ21" s="2">
        <f t="shared" si="3"/>
        <v>-23.5</v>
      </c>
      <c r="AK21" s="2">
        <f t="shared" si="3"/>
        <v>-23.5</v>
      </c>
      <c r="AL21" s="2">
        <f t="shared" si="3"/>
        <v>-145.5</v>
      </c>
    </row>
    <row r="22" spans="1:38" x14ac:dyDescent="0.4">
      <c r="A22" s="6" t="s">
        <v>19</v>
      </c>
      <c r="B22" s="6"/>
      <c r="C22" s="2">
        <f>IFERROR(C21/C20,"")</f>
        <v>0.20184426229508196</v>
      </c>
      <c r="D22" s="2">
        <f t="shared" ref="D22:G22" si="4">IFERROR(D21/D20,"")</f>
        <v>-3.8524590163934426E-2</v>
      </c>
      <c r="E22" s="2">
        <f t="shared" si="4"/>
        <v>-3.8524590163934426E-2</v>
      </c>
      <c r="F22" s="2">
        <f t="shared" si="4"/>
        <v>-3.8524590163934426E-2</v>
      </c>
      <c r="G22" s="2">
        <f t="shared" si="4"/>
        <v>-3.8524590163934426E-2</v>
      </c>
      <c r="H22" s="2">
        <f t="shared" ref="H22:AL22" si="5">IFERROR(H21/H20,"")</f>
        <v>-3.8524590163934426E-2</v>
      </c>
      <c r="I22" s="2">
        <f t="shared" si="5"/>
        <v>-3.8524590163934426E-2</v>
      </c>
      <c r="J22" s="2">
        <f t="shared" si="5"/>
        <v>-3.8524590163934426E-2</v>
      </c>
      <c r="K22" s="2">
        <f t="shared" si="5"/>
        <v>-3.8524590163934426E-2</v>
      </c>
      <c r="L22" s="2">
        <f t="shared" si="5"/>
        <v>-3.8524590163934426E-2</v>
      </c>
      <c r="M22" s="2">
        <f t="shared" si="5"/>
        <v>-3.8524590163934426E-2</v>
      </c>
      <c r="N22" s="2">
        <f t="shared" si="5"/>
        <v>-0.19877049180327869</v>
      </c>
      <c r="O22" s="2">
        <f t="shared" si="5"/>
        <v>0.20184426229508196</v>
      </c>
      <c r="P22" s="2">
        <f t="shared" si="5"/>
        <v>-3.8524590163934426E-2</v>
      </c>
      <c r="Q22" s="2">
        <f t="shared" si="5"/>
        <v>-3.8524590163934426E-2</v>
      </c>
      <c r="R22" s="2">
        <f t="shared" si="5"/>
        <v>-3.8524590163934426E-2</v>
      </c>
      <c r="S22" s="2">
        <f t="shared" si="5"/>
        <v>-3.8524590163934426E-2</v>
      </c>
      <c r="T22" s="2">
        <f t="shared" si="5"/>
        <v>-3.8524590163934426E-2</v>
      </c>
      <c r="U22" s="2">
        <f t="shared" si="5"/>
        <v>-3.8524590163934426E-2</v>
      </c>
      <c r="V22" s="2">
        <f t="shared" si="5"/>
        <v>-3.8524590163934426E-2</v>
      </c>
      <c r="W22" s="2">
        <f t="shared" si="5"/>
        <v>-3.8524590163934426E-2</v>
      </c>
      <c r="X22" s="2">
        <f t="shared" si="5"/>
        <v>-3.8524590163934426E-2</v>
      </c>
      <c r="Y22" s="2">
        <f t="shared" si="5"/>
        <v>-3.8524590163934426E-2</v>
      </c>
      <c r="Z22" s="2">
        <f t="shared" si="5"/>
        <v>-0.19877049180327869</v>
      </c>
      <c r="AA22" s="2">
        <f t="shared" si="5"/>
        <v>0.20184426229508196</v>
      </c>
      <c r="AB22" s="2">
        <f t="shared" si="5"/>
        <v>-3.8524590163934426E-2</v>
      </c>
      <c r="AC22" s="2">
        <f t="shared" si="5"/>
        <v>-3.8524590163934426E-2</v>
      </c>
      <c r="AD22" s="2">
        <f t="shared" si="5"/>
        <v>-3.8524590163934426E-2</v>
      </c>
      <c r="AE22" s="2">
        <f t="shared" si="5"/>
        <v>-3.8524590163934426E-2</v>
      </c>
      <c r="AF22" s="2">
        <f t="shared" si="5"/>
        <v>-3.8524590163934426E-2</v>
      </c>
      <c r="AG22" s="2">
        <f t="shared" si="5"/>
        <v>-3.8524590163934426E-2</v>
      </c>
      <c r="AH22" s="2">
        <f t="shared" si="5"/>
        <v>-3.8524590163934426E-2</v>
      </c>
      <c r="AI22" s="2">
        <f t="shared" si="5"/>
        <v>-3.8524590163934426E-2</v>
      </c>
      <c r="AJ22" s="2">
        <f t="shared" si="5"/>
        <v>-3.8524590163934426E-2</v>
      </c>
      <c r="AK22" s="2">
        <f t="shared" si="5"/>
        <v>-3.8524590163934426E-2</v>
      </c>
      <c r="AL22" s="2">
        <f t="shared" si="5"/>
        <v>-0.19877049180327869</v>
      </c>
    </row>
    <row r="23" spans="1:38" x14ac:dyDescent="0.4">
      <c r="A23" s="6" t="s">
        <v>20</v>
      </c>
      <c r="B23" s="6"/>
      <c r="C23" s="2">
        <f>IFERROR(C21,"")</f>
        <v>98.5</v>
      </c>
      <c r="D23" s="2">
        <f>IFERROR(C23+D21,"")</f>
        <v>75</v>
      </c>
      <c r="E23" s="2">
        <f t="shared" ref="E23:G23" si="6">IFERROR(D23+E21,"")</f>
        <v>51.5</v>
      </c>
      <c r="F23" s="2">
        <f t="shared" si="6"/>
        <v>28</v>
      </c>
      <c r="G23" s="2">
        <f t="shared" si="6"/>
        <v>4.5</v>
      </c>
      <c r="H23" s="2">
        <f t="shared" ref="H23" si="7">IFERROR(G23+H21,"")</f>
        <v>-19</v>
      </c>
      <c r="I23" s="2">
        <f t="shared" ref="I23" si="8">IFERROR(H23+I21,"")</f>
        <v>-42.5</v>
      </c>
      <c r="J23" s="2">
        <f t="shared" ref="J23" si="9">IFERROR(I23+J21,"")</f>
        <v>-66</v>
      </c>
      <c r="K23" s="2">
        <f t="shared" ref="K23" si="10">IFERROR(J23+K21,"")</f>
        <v>-89.5</v>
      </c>
      <c r="L23" s="2">
        <f t="shared" ref="L23" si="11">IFERROR(K23+L21,"")</f>
        <v>-113</v>
      </c>
      <c r="M23" s="2">
        <f t="shared" ref="M23" si="12">IFERROR(L23+M21,"")</f>
        <v>-136.5</v>
      </c>
      <c r="N23" s="2">
        <f t="shared" ref="N23" si="13">IFERROR(M23+N21,"")</f>
        <v>-282</v>
      </c>
      <c r="O23" s="2">
        <f t="shared" ref="O23" si="14">IFERROR(N23+O21,"")</f>
        <v>-183.5</v>
      </c>
      <c r="P23" s="2">
        <f t="shared" ref="P23" si="15">IFERROR(O23+P21,"")</f>
        <v>-207</v>
      </c>
      <c r="Q23" s="2">
        <f t="shared" ref="Q23" si="16">IFERROR(P23+Q21,"")</f>
        <v>-230.5</v>
      </c>
      <c r="R23" s="2">
        <f t="shared" ref="R23" si="17">IFERROR(Q23+R21,"")</f>
        <v>-254</v>
      </c>
      <c r="S23" s="2">
        <f t="shared" ref="S23" si="18">IFERROR(R23+S21,"")</f>
        <v>-277.5</v>
      </c>
      <c r="T23" s="2">
        <f t="shared" ref="T23" si="19">IFERROR(S23+T21,"")</f>
        <v>-301</v>
      </c>
      <c r="U23" s="2">
        <f t="shared" ref="U23" si="20">IFERROR(T23+U21,"")</f>
        <v>-324.5</v>
      </c>
      <c r="V23" s="2">
        <f t="shared" ref="V23" si="21">IFERROR(U23+V21,"")</f>
        <v>-348</v>
      </c>
      <c r="W23" s="2">
        <f t="shared" ref="W23" si="22">IFERROR(V23+W21,"")</f>
        <v>-371.5</v>
      </c>
      <c r="X23" s="2">
        <f t="shared" ref="X23" si="23">IFERROR(W23+X21,"")</f>
        <v>-395</v>
      </c>
      <c r="Y23" s="2">
        <f t="shared" ref="Y23" si="24">IFERROR(X23+Y21,"")</f>
        <v>-418.5</v>
      </c>
      <c r="Z23" s="2">
        <f t="shared" ref="Z23" si="25">IFERROR(Y23+Z21,"")</f>
        <v>-564</v>
      </c>
      <c r="AA23" s="2">
        <f t="shared" ref="AA23" si="26">IFERROR(Z23+AA21,"")</f>
        <v>-465.5</v>
      </c>
      <c r="AB23" s="2">
        <f t="shared" ref="AB23" si="27">IFERROR(AA23+AB21,"")</f>
        <v>-489</v>
      </c>
      <c r="AC23" s="2">
        <f t="shared" ref="AC23" si="28">IFERROR(AB23+AC21,"")</f>
        <v>-512.5</v>
      </c>
      <c r="AD23" s="2">
        <f t="shared" ref="AD23" si="29">IFERROR(AC23+AD21,"")</f>
        <v>-536</v>
      </c>
      <c r="AE23" s="2">
        <f t="shared" ref="AE23" si="30">IFERROR(AD23+AE21,"")</f>
        <v>-559.5</v>
      </c>
      <c r="AF23" s="2">
        <f t="shared" ref="AF23" si="31">IFERROR(AE23+AF21,"")</f>
        <v>-583</v>
      </c>
      <c r="AG23" s="2">
        <f t="shared" ref="AG23" si="32">IFERROR(AF23+AG21,"")</f>
        <v>-606.5</v>
      </c>
      <c r="AH23" s="2">
        <f t="shared" ref="AH23" si="33">IFERROR(AG23+AH21,"")</f>
        <v>-630</v>
      </c>
      <c r="AI23" s="2">
        <f t="shared" ref="AI23" si="34">IFERROR(AH23+AI21,"")</f>
        <v>-653.5</v>
      </c>
      <c r="AJ23" s="2">
        <f t="shared" ref="AJ23" si="35">IFERROR(AI23+AJ21,"")</f>
        <v>-677</v>
      </c>
      <c r="AK23" s="2">
        <f t="shared" ref="AK23" si="36">IFERROR(AJ23+AK21,"")</f>
        <v>-700.5</v>
      </c>
      <c r="AL23" s="2">
        <f t="shared" ref="AL23" si="37">IFERROR(AK23+AL21,"")</f>
        <v>-846</v>
      </c>
    </row>
    <row r="24" spans="1:38" x14ac:dyDescent="0.4">
      <c r="A24" s="6" t="s">
        <v>21</v>
      </c>
      <c r="B24" s="6"/>
      <c r="C24" s="2">
        <f>IFERROR(IF(C23&gt;0,0,C23),"")</f>
        <v>0</v>
      </c>
      <c r="D24" s="2">
        <f t="shared" ref="D24:G24" si="38">IFERROR(IF(D23&gt;0,0,D23),"")</f>
        <v>0</v>
      </c>
      <c r="E24" s="2">
        <f t="shared" si="38"/>
        <v>0</v>
      </c>
      <c r="F24" s="2">
        <f t="shared" si="38"/>
        <v>0</v>
      </c>
      <c r="G24" s="2">
        <f t="shared" si="38"/>
        <v>0</v>
      </c>
      <c r="H24" s="2">
        <f t="shared" ref="H24:AL24" si="39">IFERROR(IF(H23&gt;0,0,H23),"")</f>
        <v>-19</v>
      </c>
      <c r="I24" s="2">
        <f t="shared" si="39"/>
        <v>-42.5</v>
      </c>
      <c r="J24" s="2">
        <f t="shared" si="39"/>
        <v>-66</v>
      </c>
      <c r="K24" s="2">
        <f t="shared" si="39"/>
        <v>-89.5</v>
      </c>
      <c r="L24" s="2">
        <f t="shared" si="39"/>
        <v>-113</v>
      </c>
      <c r="M24" s="2">
        <f t="shared" si="39"/>
        <v>-136.5</v>
      </c>
      <c r="N24" s="2">
        <f t="shared" si="39"/>
        <v>-282</v>
      </c>
      <c r="O24" s="2">
        <f t="shared" si="39"/>
        <v>-183.5</v>
      </c>
      <c r="P24" s="2">
        <f t="shared" si="39"/>
        <v>-207</v>
      </c>
      <c r="Q24" s="2">
        <f t="shared" si="39"/>
        <v>-230.5</v>
      </c>
      <c r="R24" s="2">
        <f t="shared" si="39"/>
        <v>-254</v>
      </c>
      <c r="S24" s="2">
        <f t="shared" si="39"/>
        <v>-277.5</v>
      </c>
      <c r="T24" s="2">
        <f t="shared" si="39"/>
        <v>-301</v>
      </c>
      <c r="U24" s="2">
        <f t="shared" si="39"/>
        <v>-324.5</v>
      </c>
      <c r="V24" s="2">
        <f t="shared" si="39"/>
        <v>-348</v>
      </c>
      <c r="W24" s="2">
        <f t="shared" si="39"/>
        <v>-371.5</v>
      </c>
      <c r="X24" s="2">
        <f t="shared" si="39"/>
        <v>-395</v>
      </c>
      <c r="Y24" s="2">
        <f t="shared" si="39"/>
        <v>-418.5</v>
      </c>
      <c r="Z24" s="2">
        <f t="shared" si="39"/>
        <v>-564</v>
      </c>
      <c r="AA24" s="2">
        <f t="shared" si="39"/>
        <v>-465.5</v>
      </c>
      <c r="AB24" s="2">
        <f t="shared" si="39"/>
        <v>-489</v>
      </c>
      <c r="AC24" s="2">
        <f t="shared" si="39"/>
        <v>-512.5</v>
      </c>
      <c r="AD24" s="2">
        <f t="shared" si="39"/>
        <v>-536</v>
      </c>
      <c r="AE24" s="2">
        <f t="shared" si="39"/>
        <v>-559.5</v>
      </c>
      <c r="AF24" s="2">
        <f t="shared" si="39"/>
        <v>-583</v>
      </c>
      <c r="AG24" s="2">
        <f t="shared" si="39"/>
        <v>-606.5</v>
      </c>
      <c r="AH24" s="2">
        <f t="shared" si="39"/>
        <v>-630</v>
      </c>
      <c r="AI24" s="2">
        <f t="shared" si="39"/>
        <v>-653.5</v>
      </c>
      <c r="AJ24" s="2">
        <f t="shared" si="39"/>
        <v>-677</v>
      </c>
      <c r="AK24" s="2">
        <f t="shared" si="39"/>
        <v>-700.5</v>
      </c>
      <c r="AL24" s="2">
        <f t="shared" si="39"/>
        <v>-846</v>
      </c>
    </row>
  </sheetData>
  <mergeCells count="17">
    <mergeCell ref="C8:AL8"/>
    <mergeCell ref="A24:B24"/>
    <mergeCell ref="A13:G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1:B2"/>
    <mergeCell ref="A3:A6"/>
    <mergeCell ref="A7:B7"/>
    <mergeCell ref="C7:G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Meiling Xu</dc:creator>
  <cp:lastModifiedBy>Meiling Xu</cp:lastModifiedBy>
  <dcterms:created xsi:type="dcterms:W3CDTF">2015-06-05T18:19:34Z</dcterms:created>
  <dcterms:modified xsi:type="dcterms:W3CDTF">2026-01-20T06:57:25Z</dcterms:modified>
</cp:coreProperties>
</file>